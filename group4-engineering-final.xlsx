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User\Desktop\"/>
    </mc:Choice>
  </mc:AlternateContent>
  <xr:revisionPtr revIDLastSave="0" documentId="13_ncr:1_{B04C320D-5E36-467E-BC08-D886FF9273FF}" xr6:coauthVersionLast="47" xr6:coauthVersionMax="47" xr10:uidLastSave="{00000000-0000-0000-0000-000000000000}"/>
  <bookViews>
    <workbookView xWindow="-120" yWindow="-120" windowWidth="29040" windowHeight="16440" xr2:uid="{00000000-000D-0000-FFFF-FFFF00000000}"/>
  </bookViews>
  <sheets>
    <sheet name="ProjectSchedule" sheetId="11" r:id="rId1"/>
    <sheet name="About" sheetId="12" r:id="rId2"/>
  </sheets>
  <definedNames>
    <definedName name="_xlnm.Print_Area" localSheetId="0">ProjectSchedule!$1:$40</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9" i="11" l="1"/>
  <c r="G18" i="11"/>
  <c r="G16" i="11"/>
  <c r="G17" i="11"/>
  <c r="G12" i="11"/>
  <c r="G13" i="11"/>
  <c r="G14" i="11"/>
  <c r="G15" i="11"/>
  <c r="B13" i="12"/>
  <c r="G11" i="11" l="1"/>
  <c r="G10" i="11"/>
  <c r="G9" i="11"/>
  <c r="G8" i="11"/>
  <c r="G7" i="11"/>
  <c r="H5" i="11" l="1"/>
  <c r="H4" i="11" l="1"/>
  <c r="H6" i="11"/>
  <c r="I5" i="11"/>
  <c r="J5" i="11" s="1"/>
  <c r="K5" i="11" s="1"/>
  <c r="L5" i="11" s="1"/>
  <c r="M5" i="11" s="1"/>
  <c r="N5" i="11" s="1"/>
  <c r="O5" i="11" s="1"/>
  <c r="O4" i="11" s="1"/>
  <c r="P5" i="11" l="1"/>
  <c r="Q5" i="11" s="1"/>
  <c r="R5" i="11" s="1"/>
  <c r="S5" i="11" s="1"/>
  <c r="T5" i="11" s="1"/>
  <c r="U5" i="11" s="1"/>
  <c r="V5" i="11" s="1"/>
  <c r="V4" i="11" s="1"/>
  <c r="I6" i="11"/>
  <c r="W5" i="11" l="1"/>
  <c r="X5" i="11" s="1"/>
  <c r="Y5" i="11" s="1"/>
  <c r="Z5" i="11" s="1"/>
  <c r="AA5" i="11" s="1"/>
  <c r="AB5" i="11" s="1"/>
  <c r="AC5" i="11" s="1"/>
  <c r="AC4" i="11" s="1"/>
  <c r="J6" i="11"/>
  <c r="AD5" i="11" l="1"/>
  <c r="AE5" i="11" s="1"/>
  <c r="AF5" i="11" s="1"/>
  <c r="AG5" i="11" s="1"/>
  <c r="AH5" i="11" s="1"/>
  <c r="AI5" i="11" s="1"/>
  <c r="K6" i="11"/>
  <c r="AJ5" i="11" l="1"/>
  <c r="L6" i="11"/>
  <c r="AK5" i="11" l="1"/>
  <c r="AL5" i="11" s="1"/>
  <c r="AM5" i="11" s="1"/>
  <c r="AN5" i="11" s="1"/>
  <c r="AO5" i="11" s="1"/>
  <c r="AP5" i="11" s="1"/>
  <c r="AQ5" i="11" s="1"/>
  <c r="AJ4" i="11"/>
  <c r="M6" i="11"/>
  <c r="AR5" i="11" l="1"/>
  <c r="AQ4" i="11"/>
  <c r="AS5" i="11"/>
  <c r="AR6" i="11"/>
  <c r="N6" i="11"/>
  <c r="AT5" i="11" l="1"/>
  <c r="AS6" i="11"/>
  <c r="AU5" i="11" l="1"/>
  <c r="AT6" i="11"/>
  <c r="O6" i="11"/>
  <c r="P6" i="11"/>
  <c r="AV5" i="11" l="1"/>
  <c r="AU6" i="11"/>
  <c r="Q6" i="11"/>
  <c r="AW5" i="11" l="1"/>
  <c r="AX5" i="11" s="1"/>
  <c r="AX4" i="11" s="1"/>
  <c r="AV6" i="11"/>
  <c r="R6" i="11"/>
  <c r="AX6" i="11" l="1"/>
  <c r="AY5" i="11"/>
  <c r="AW6" i="11"/>
  <c r="S6" i="11"/>
  <c r="AZ5" i="11" l="1"/>
  <c r="AY6" i="11"/>
  <c r="T6" i="11"/>
  <c r="AZ6" i="11" l="1"/>
  <c r="BA5" i="11"/>
  <c r="U6" i="11"/>
  <c r="BA6" i="11" l="1"/>
  <c r="BB5" i="11"/>
  <c r="V6" i="11"/>
  <c r="BB6" i="11" l="1"/>
  <c r="BC5" i="11"/>
  <c r="W6" i="11"/>
  <c r="BD5" i="11" l="1"/>
  <c r="BC6" i="11"/>
  <c r="X6" i="11"/>
  <c r="BD6" i="11" l="1"/>
  <c r="BE5" i="11"/>
  <c r="BE4" i="11" s="1"/>
  <c r="Y6" i="11"/>
  <c r="BE6" i="11" l="1"/>
  <c r="BF5"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G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<sst xmlns="http://schemas.openxmlformats.org/spreadsheetml/2006/main" count="53" uniqueCount="48">
  <si>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</si>
  <si>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</si>
  <si>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</si>
  <si>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</si>
  <si>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</si>
  <si>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</si>
  <si>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</si>
  <si>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</si>
  <si>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</si>
  <si>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</si>
  <si>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</si>
  <si>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</si>
  <si>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</si>
  <si>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</si>
  <si>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</si>
  <si>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</si>
  <si>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</si>
  <si>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</si>
  <si>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</si>
  <si>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</si>
  <si>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</si>
  <si>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</si>
  <si>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 2018-2019 Vertex42 LLC</t>
  </si>
  <si>
    <t>Parametric UI Mockup &amp; Symbolic Layout Optimizer</t>
  </si>
  <si>
    <t>Group 4</t>
  </si>
  <si>
    <t>#</t>
  </si>
  <si>
    <t>Project assignment received</t>
  </si>
  <si>
    <t>Understanding the topic</t>
  </si>
  <si>
    <t>Research: Parametric UI basics</t>
  </si>
  <si>
    <t>Research: Python layout logic</t>
  </si>
  <si>
    <t>Create Gantt Chart</t>
  </si>
  <si>
    <t>Start Python coding (basic version)</t>
  </si>
  <si>
    <t>FreeCAD parametric model</t>
  </si>
  <si>
    <t>UI mockups (2–3 versions)</t>
  </si>
  <si>
    <t>Technical report writing</t>
  </si>
  <si>
    <t>Final submission</t>
  </si>
  <si>
    <t>Preparing progress presentation slides</t>
  </si>
  <si>
    <t>Progress Presentation preparation (rehearsal &amp; final edits)</t>
  </si>
  <si>
    <t>Python code final version (optimizer + plots)</t>
  </si>
  <si>
    <t>All</t>
  </si>
  <si>
    <t>Temur Meyliyev, Toxirjon Zokirjonov</t>
  </si>
  <si>
    <t>Artyom Kamagaev, Fazliddin Rustamov</t>
  </si>
  <si>
    <t>Fazliddin Rustamov, Umar Shuxratov</t>
  </si>
  <si>
    <t>Abduaziz Abdumurodov, Shuxrat Bazarov</t>
  </si>
  <si>
    <t>Abdulmajid Hudoynazarov</t>
  </si>
  <si>
    <t>Fazliddin Rustamov</t>
  </si>
  <si>
    <t>Fazliddin Rustamov, Abdulmajid Hudoynazarov</t>
  </si>
  <si>
    <t>Introduction to Engineering (FSE100002)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</si>
</sst>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
    <numFmt numFmtId="165" formatCode="d"/>
  </numFmts>
  <fonts count="2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9"/>
      <color theme="0"/>
      <name val="Calibri"/>
      <family val="2"/>
      <scheme val="minor"/>
    </font>
    <font>
      <sz val="10"/>
      <color theme="0" tint="-0.499984740745262"/>
      <name val="Calibri"/>
      <family val="2"/>
      <scheme val="minor"/>
    </font>
    <font>
      <sz val="11"/>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0"/>
      <color theme="1" tint="0.34998626667073579"/>
      <name val="Calibri"/>
      <family val="2"/>
      <scheme val="minor"/>
    </font>
    <font>
      <b/>
      <sz val="11"/>
      <color theme="1"/>
      <name val="Calibri"/>
      <family val="2"/>
      <charset val="204"/>
      <scheme val="minor"/>
    </font>
    <font>
      <sz val="8"/>
      <name val="Calibri"/>
      <family val="2"/>
      <scheme val="minor"/>
    </font>
    <font>
      <b/>
      <sz val="22"/>
      <color theme="1"/>
      <name val="Calibri"/>
      <family val="2"/>
      <charset val="204"/>
      <scheme val="major"/>
    </font>
    <font>
      <b/>
      <sz val="9"/>
      <color theme="1"/>
      <name val="Calibri"/>
      <family val="2"/>
      <charset val="204"/>
      <scheme val="minor"/>
    </font>
    <font>
      <b/>
      <sz val="14"/>
      <color theme="1"/>
      <name val="Calibri"/>
      <family val="2"/>
      <charset val="204"/>
      <scheme val="minor"/>
    </font>
  </fonts>
  <fills count="6">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1" tint="0.34998626667073579"/>
        <bgColor theme="4"/>
      </patternFill>
    </fill>
  </fills>
  <borders count="14">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cellStyleXfs>
  <cellXfs count="45">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NumberFormat="1" applyBorder="1" applyAlignment="1">
      <alignment horizontal="center" vertical="center"/>
    </xf>
    <xf numFmtId="0" fontId="4" fillId="5" borderId="1" xfId="0" applyFont="1" applyFill="1" applyBorder="1" applyAlignment="1">
      <alignment horizontal="left" vertical="center" indent="1"/>
    </xf>
    <xf numFmtId="0" fontId="4" fillId="5" borderId="1" xfId="0" applyFont="1" applyFill="1" applyBorder="1" applyAlignment="1">
      <alignment horizontal="center" vertical="center" wrapText="1"/>
    </xf>
    <xf numFmtId="165" fontId="7" fillId="3" borderId="0" xfId="0" applyNumberFormat="1" applyFont="1" applyFill="1" applyBorder="1" applyAlignment="1">
      <alignment horizontal="center" vertical="center"/>
    </xf>
    <xf numFmtId="165" fontId="7" fillId="3" borderId="8" xfId="0" applyNumberFormat="1" applyFont="1" applyFill="1" applyBorder="1" applyAlignment="1">
      <alignment horizontal="center" vertical="center"/>
    </xf>
    <xf numFmtId="165" fontId="7" fillId="3" borderId="9" xfId="0" applyNumberFormat="1" applyFont="1" applyFill="1" applyBorder="1" applyAlignment="1">
      <alignment horizontal="center" vertical="center"/>
    </xf>
    <xf numFmtId="0" fontId="10" fillId="4" borderId="10" xfId="0" applyFont="1" applyFill="1" applyBorder="1" applyAlignment="1">
      <alignment horizontal="center" vertical="center" shrinkToFit="1"/>
    </xf>
    <xf numFmtId="0" fontId="11" fillId="0" borderId="0" xfId="0" applyFont="1" applyAlignment="1">
      <alignment horizontal="right" vertical="center"/>
    </xf>
    <xf numFmtId="0" fontId="3" fillId="0" borderId="2" xfId="0" applyNumberFormat="1"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1" fillId="0" borderId="0" xfId="0" applyFont="1" applyAlignment="1" applyProtection="1">
      <alignment vertical="top"/>
    </xf>
    <xf numFmtId="0" fontId="1" fillId="0" borderId="0" xfId="0" applyFont="1"/>
    <xf numFmtId="0" fontId="12" fillId="0" borderId="0" xfId="0" applyFont="1" applyAlignment="1" applyProtection="1">
      <alignment horizontal="left" vertical="center"/>
    </xf>
    <xf numFmtId="0" fontId="13" fillId="0" borderId="0" xfId="0" applyFont="1" applyAlignment="1">
      <alignment horizontal="left" vertical="center"/>
    </xf>
    <xf numFmtId="0" fontId="14" fillId="0" borderId="0" xfId="0" applyFont="1" applyAlignment="1">
      <alignment vertical="center"/>
    </xf>
    <xf numFmtId="0" fontId="1" fillId="0" borderId="0" xfId="0" applyFont="1" applyAlignment="1">
      <alignment horizontal="left" vertical="center"/>
    </xf>
    <xf numFmtId="0" fontId="15" fillId="0" borderId="0" xfId="0" applyFont="1"/>
    <xf numFmtId="0" fontId="16" fillId="0" borderId="0" xfId="0" applyFont="1" applyAlignment="1">
      <alignment vertical="top" wrapText="1"/>
    </xf>
    <xf numFmtId="0" fontId="1" fillId="0" borderId="0" xfId="0" applyFont="1" applyAlignment="1">
      <alignment vertical="top"/>
    </xf>
    <xf numFmtId="0" fontId="17" fillId="0" borderId="0" xfId="0" applyFont="1" applyAlignment="1">
      <alignment vertical="center"/>
    </xf>
    <xf numFmtId="0" fontId="16" fillId="0" borderId="0" xfId="0" applyFont="1" applyAlignment="1">
      <alignment horizontal="left" vertical="top" wrapText="1" indent="1"/>
    </xf>
    <xf numFmtId="0" fontId="2" fillId="0" borderId="0" xfId="1" applyAlignment="1" applyProtection="1">
      <alignment horizontal="left" indent="1"/>
    </xf>
    <xf numFmtId="0" fontId="18" fillId="0" borderId="0" xfId="0" applyFont="1" applyAlignment="1" applyProtection="1">
      <alignment vertical="top"/>
    </xf>
    <xf numFmtId="0" fontId="2" fillId="0" borderId="0" xfId="1" applyFill="1" applyAlignment="1" applyProtection="1">
      <alignment horizontal="left" indent="1"/>
    </xf>
    <xf numFmtId="0" fontId="0" fillId="0" borderId="0" xfId="0" applyAlignment="1">
      <alignment vertical="top"/>
    </xf>
    <xf numFmtId="0" fontId="5" fillId="0" borderId="0" xfId="0" applyFont="1" applyAlignment="1">
      <alignment vertical="top"/>
    </xf>
    <xf numFmtId="9" fontId="3" fillId="2" borderId="12" xfId="2" applyFont="1" applyFill="1" applyBorder="1" applyAlignment="1">
      <alignment horizontal="center" vertical="center"/>
    </xf>
    <xf numFmtId="164" fontId="0" fillId="2" borderId="12" xfId="0" applyNumberFormat="1" applyFont="1" applyFill="1" applyBorder="1" applyAlignment="1">
      <alignment horizontal="center" vertical="center"/>
    </xf>
    <xf numFmtId="164" fontId="3" fillId="2" borderId="12" xfId="0" applyNumberFormat="1" applyFont="1" applyFill="1" applyBorder="1" applyAlignment="1">
      <alignment horizontal="center" vertical="center"/>
    </xf>
    <xf numFmtId="0" fontId="22" fillId="0" borderId="12" xfId="0" applyFont="1" applyBorder="1" applyAlignment="1">
      <alignment horizontal="center" vertical="center"/>
    </xf>
    <xf numFmtId="0" fontId="0" fillId="0" borderId="12" xfId="0" applyFont="1" applyBorder="1" applyAlignment="1">
      <alignment horizontal="center" vertical="center"/>
    </xf>
    <xf numFmtId="0" fontId="19" fillId="2" borderId="13" xfId="0" applyFont="1" applyFill="1" applyBorder="1" applyAlignment="1">
      <alignment horizontal="left" vertical="center"/>
    </xf>
    <xf numFmtId="0" fontId="0" fillId="2" borderId="12" xfId="0" applyFont="1" applyFill="1" applyBorder="1" applyAlignment="1">
      <alignment horizontal="center" vertical="center" wrapText="1"/>
    </xf>
    <xf numFmtId="0" fontId="23" fillId="0" borderId="0" xfId="0" applyFont="1"/>
    <xf numFmtId="14" fontId="0" fillId="3" borderId="6" xfId="0" applyNumberFormat="1" applyFont="1" applyFill="1" applyBorder="1" applyAlignment="1">
      <alignment horizontal="left" vertical="center" wrapText="1" indent="1"/>
    </xf>
    <xf numFmtId="14" fontId="0" fillId="3" borderId="1" xfId="0" applyNumberFormat="1" applyFont="1" applyFill="1" applyBorder="1" applyAlignment="1">
      <alignment horizontal="left" vertical="center" wrapText="1" indent="1"/>
    </xf>
    <xf numFmtId="14" fontId="0" fillId="3" borderId="7" xfId="0" applyNumberFormat="1" applyFont="1" applyFill="1" applyBorder="1" applyAlignment="1">
      <alignment horizontal="left" vertical="center" wrapText="1" indent="1"/>
    </xf>
    <xf numFmtId="0" fontId="21" fillId="0" borderId="0" xfId="0" applyFont="1" applyAlignment="1">
      <alignment horizontal="left" vertical="top"/>
    </xf>
    <xf numFmtId="14" fontId="0" fillId="0" borderId="4" xfId="0" applyNumberFormat="1" applyBorder="1" applyAlignment="1">
      <alignment horizontal="center" vertical="center"/>
    </xf>
    <xf numFmtId="14" fontId="0" fillId="0" borderId="5" xfId="0" applyNumberFormat="1" applyBorder="1" applyAlignment="1">
      <alignment horizontal="center" vertical="center"/>
    </xf>
  </cellXfs>
  <cellStyles count="3">
    <cellStyle name="Hyperlink" xfId="1" builtinId="8" customBuiltin="1"/>
    <cellStyle name="Normal" xfId="0" builtinId="0"/>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40"/>
  <sheetViews>
    <sheetView showGridLines="0" tabSelected="1" showRuler="0" zoomScaleNormal="100" zoomScalePageLayoutView="70" workbookViewId="0">
      <pane ySplit="6" topLeftCell="A7" activePane="bottomLeft" state="frozen"/>
      <selection pane="bottomLeft" activeCell="AB7" sqref="AB7"/>
    </sheetView>
  </sheetViews>
  <sheetFormatPr defaultRowHeight="15" x14ac:dyDescent="0.25"/>
  <cols>
    <col min="1" max="1" width="3.7109375" customWidth="1"/>
    <col min="2" max="2" width="54.140625" bestFit="1" customWidth="1"/>
    <col min="3" max="3" width="43.5703125" bestFit="1" customWidth="1"/>
    <col min="4" max="4" width="10.7109375" customWidth="1"/>
    <col min="5" max="5" width="10.42578125" style="2" customWidth="1"/>
    <col min="6" max="6" width="10.42578125" customWidth="1"/>
    <col min="7" max="64" width="4.7109375" customWidth="1"/>
    <col min="69" max="70" width="10.28515625"/>
  </cols>
  <sheetData>
    <row r="1" spans="1:64" ht="28.5" x14ac:dyDescent="0.25">
      <c r="B1" s="42" t="s">
        <v>23</v>
      </c>
      <c r="C1" s="42"/>
      <c r="D1" s="23"/>
      <c r="E1" s="23"/>
      <c r="F1" s="23"/>
      <c r="G1" s="29"/>
      <c r="H1" s="23"/>
      <c r="I1" s="30"/>
      <c r="J1" s="29"/>
      <c r="K1" s="29"/>
      <c r="L1" s="29"/>
      <c r="M1" s="29"/>
      <c r="N1" s="29"/>
      <c r="O1" s="29"/>
      <c r="P1" s="29"/>
      <c r="Q1" s="29"/>
      <c r="R1" s="29"/>
      <c r="S1" s="29"/>
    </row>
    <row r="2" spans="1:64" ht="19.5" customHeight="1" x14ac:dyDescent="0.3">
      <c r="B2" s="38" t="s">
        <v>47</v>
      </c>
      <c r="D2" s="3" t="s">
        <v>0</v>
      </c>
      <c r="E2" s="43">
        <v>45985</v>
      </c>
      <c r="F2" s="44"/>
    </row>
    <row r="3" spans="1:64" ht="19.5" customHeight="1" x14ac:dyDescent="0.3">
      <c r="B3" s="38" t="s">
        <v>24</v>
      </c>
      <c r="D3" s="3" t="s">
        <v>21</v>
      </c>
      <c r="E3" s="43">
        <v>45993</v>
      </c>
      <c r="F3" s="44"/>
    </row>
    <row r="4" spans="1:64" ht="19.5" customHeight="1" x14ac:dyDescent="0.25">
      <c r="D4" s="3" t="s">
        <v>7</v>
      </c>
      <c r="E4" s="4">
        <v>1</v>
      </c>
      <c r="H4" s="39">
        <f>H5</f>
        <v>45985</v>
      </c>
      <c r="I4" s="40"/>
      <c r="J4" s="40"/>
      <c r="K4" s="40"/>
      <c r="L4" s="40"/>
      <c r="M4" s="40"/>
      <c r="N4" s="41"/>
      <c r="O4" s="39">
        <f>O5</f>
        <v>45992</v>
      </c>
      <c r="P4" s="40"/>
      <c r="Q4" s="40"/>
      <c r="R4" s="40"/>
      <c r="S4" s="40"/>
      <c r="T4" s="40"/>
      <c r="U4" s="41"/>
      <c r="V4" s="39">
        <f>V5</f>
        <v>45999</v>
      </c>
      <c r="W4" s="40"/>
      <c r="X4" s="40"/>
      <c r="Y4" s="40"/>
      <c r="Z4" s="40"/>
      <c r="AA4" s="40"/>
      <c r="AB4" s="41"/>
      <c r="AC4" s="39">
        <f>AC5</f>
        <v>46006</v>
      </c>
      <c r="AD4" s="40"/>
      <c r="AE4" s="40"/>
      <c r="AF4" s="40"/>
      <c r="AG4" s="40"/>
      <c r="AH4" s="40"/>
      <c r="AI4" s="41"/>
      <c r="AJ4" s="39">
        <f>AJ5</f>
        <v>46013</v>
      </c>
      <c r="AK4" s="40"/>
      <c r="AL4" s="40"/>
      <c r="AM4" s="40"/>
      <c r="AN4" s="40"/>
      <c r="AO4" s="40"/>
      <c r="AP4" s="41"/>
      <c r="AQ4" s="39">
        <f>AQ5</f>
        <v>46020</v>
      </c>
      <c r="AR4" s="40"/>
      <c r="AS4" s="40"/>
      <c r="AT4" s="40"/>
      <c r="AU4" s="40"/>
      <c r="AV4" s="40"/>
      <c r="AW4" s="41"/>
      <c r="AX4" s="39">
        <f>AX5</f>
        <v>46027</v>
      </c>
      <c r="AY4" s="40"/>
      <c r="AZ4" s="40"/>
      <c r="BA4" s="40"/>
      <c r="BB4" s="40"/>
      <c r="BC4" s="40"/>
      <c r="BD4" s="41"/>
      <c r="BE4" s="39">
        <f>BE5</f>
        <v>46034</v>
      </c>
      <c r="BF4" s="40"/>
      <c r="BG4" s="40"/>
      <c r="BH4" s="40"/>
      <c r="BI4" s="40"/>
      <c r="BJ4" s="40"/>
      <c r="BK4" s="41"/>
    </row>
    <row r="5" spans="1:64" x14ac:dyDescent="0.25">
      <c r="A5" s="3"/>
      <c r="G5" s="3"/>
      <c r="H5" s="8">
        <f>E2-WEEKDAY(E2,1)+2+7*(E4-1)</f>
        <v>45985</v>
      </c>
      <c r="I5" s="7">
        <f>H5+1</f>
        <v>45986</v>
      </c>
      <c r="J5" s="7">
        <f t="shared" ref="J5:AW5" si="0">I5+1</f>
        <v>45987</v>
      </c>
      <c r="K5" s="7">
        <f t="shared" si="0"/>
        <v>45988</v>
      </c>
      <c r="L5" s="7">
        <f t="shared" si="0"/>
        <v>45989</v>
      </c>
      <c r="M5" s="7">
        <f t="shared" si="0"/>
        <v>45990</v>
      </c>
      <c r="N5" s="9">
        <f t="shared" si="0"/>
        <v>45991</v>
      </c>
      <c r="O5" s="8">
        <f>N5+1</f>
        <v>45992</v>
      </c>
      <c r="P5" s="7">
        <f>O5+1</f>
        <v>45993</v>
      </c>
      <c r="Q5" s="7">
        <f t="shared" si="0"/>
        <v>45994</v>
      </c>
      <c r="R5" s="7">
        <f t="shared" si="0"/>
        <v>45995</v>
      </c>
      <c r="S5" s="7">
        <f t="shared" si="0"/>
        <v>45996</v>
      </c>
      <c r="T5" s="7">
        <f t="shared" si="0"/>
        <v>45997</v>
      </c>
      <c r="U5" s="9">
        <f t="shared" si="0"/>
        <v>45998</v>
      </c>
      <c r="V5" s="8">
        <f>U5+1</f>
        <v>45999</v>
      </c>
      <c r="W5" s="7">
        <f>V5+1</f>
        <v>46000</v>
      </c>
      <c r="X5" s="7">
        <f t="shared" si="0"/>
        <v>46001</v>
      </c>
      <c r="Y5" s="7">
        <f t="shared" si="0"/>
        <v>46002</v>
      </c>
      <c r="Z5" s="7">
        <f t="shared" si="0"/>
        <v>46003</v>
      </c>
      <c r="AA5" s="7">
        <f t="shared" si="0"/>
        <v>46004</v>
      </c>
      <c r="AB5" s="9">
        <f t="shared" si="0"/>
        <v>46005</v>
      </c>
      <c r="AC5" s="8">
        <f>AB5+1</f>
        <v>46006</v>
      </c>
      <c r="AD5" s="7">
        <f>AC5+1</f>
        <v>46007</v>
      </c>
      <c r="AE5" s="7">
        <f t="shared" si="0"/>
        <v>46008</v>
      </c>
      <c r="AF5" s="7">
        <f t="shared" si="0"/>
        <v>46009</v>
      </c>
      <c r="AG5" s="7">
        <f t="shared" si="0"/>
        <v>46010</v>
      </c>
      <c r="AH5" s="7">
        <f t="shared" si="0"/>
        <v>46011</v>
      </c>
      <c r="AI5" s="9">
        <f t="shared" si="0"/>
        <v>46012</v>
      </c>
      <c r="AJ5" s="8">
        <f>AI5+1</f>
        <v>46013</v>
      </c>
      <c r="AK5" s="7">
        <f>AJ5+1</f>
        <v>46014</v>
      </c>
      <c r="AL5" s="7">
        <f t="shared" si="0"/>
        <v>46015</v>
      </c>
      <c r="AM5" s="7">
        <f t="shared" si="0"/>
        <v>46016</v>
      </c>
      <c r="AN5" s="7">
        <f t="shared" si="0"/>
        <v>46017</v>
      </c>
      <c r="AO5" s="7">
        <f t="shared" si="0"/>
        <v>46018</v>
      </c>
      <c r="AP5" s="9">
        <f t="shared" si="0"/>
        <v>46019</v>
      </c>
      <c r="AQ5" s="8">
        <f>AP5+1</f>
        <v>46020</v>
      </c>
      <c r="AR5" s="7">
        <f>AQ5+1</f>
        <v>46021</v>
      </c>
      <c r="AS5" s="7">
        <f t="shared" si="0"/>
        <v>46022</v>
      </c>
      <c r="AT5" s="7">
        <f t="shared" si="0"/>
        <v>46023</v>
      </c>
      <c r="AU5" s="7">
        <f t="shared" si="0"/>
        <v>46024</v>
      </c>
      <c r="AV5" s="7">
        <f t="shared" si="0"/>
        <v>46025</v>
      </c>
      <c r="AW5" s="9">
        <f t="shared" si="0"/>
        <v>46026</v>
      </c>
      <c r="AX5" s="8">
        <f>AW5+1</f>
        <v>46027</v>
      </c>
      <c r="AY5" s="7">
        <f>AX5+1</f>
        <v>46028</v>
      </c>
      <c r="AZ5" s="7">
        <f t="shared" ref="AZ5:BD5" si="1">AY5+1</f>
        <v>46029</v>
      </c>
      <c r="BA5" s="7">
        <f t="shared" si="1"/>
        <v>46030</v>
      </c>
      <c r="BB5" s="7">
        <f t="shared" si="1"/>
        <v>46031</v>
      </c>
      <c r="BC5" s="7">
        <f t="shared" si="1"/>
        <v>46032</v>
      </c>
      <c r="BD5" s="9">
        <f t="shared" si="1"/>
        <v>46033</v>
      </c>
      <c r="BE5" s="8">
        <f>BD5+1</f>
        <v>46034</v>
      </c>
      <c r="BF5" s="7">
        <f>BE5+1</f>
        <v>46035</v>
      </c>
      <c r="BG5" s="7">
        <f t="shared" ref="BG5:BK5" si="2">BF5+1</f>
        <v>46036</v>
      </c>
      <c r="BH5" s="7">
        <f t="shared" si="2"/>
        <v>46037</v>
      </c>
      <c r="BI5" s="7">
        <f t="shared" si="2"/>
        <v>46038</v>
      </c>
      <c r="BJ5" s="7">
        <f t="shared" si="2"/>
        <v>46039</v>
      </c>
      <c r="BK5" s="9">
        <f t="shared" si="2"/>
        <v>46040</v>
      </c>
    </row>
    <row r="6" spans="1:64" ht="29.25" customHeight="1" thickBot="1" x14ac:dyDescent="0.3">
      <c r="A6" s="34" t="s">
        <v>25</v>
      </c>
      <c r="B6" s="5" t="s">
        <v>8</v>
      </c>
      <c r="C6" s="6" t="s">
        <v>2</v>
      </c>
      <c r="D6" s="6" t="s">
        <v>1</v>
      </c>
      <c r="E6" s="6" t="s">
        <v>4</v>
      </c>
      <c r="F6" s="6" t="s">
        <v>5</v>
      </c>
      <c r="G6" s="6" t="s">
        <v>6</v>
      </c>
      <c r="H6" s="10" t="str">
        <f t="shared" ref="H6" si="3">LEFT(TEXT(H5,"ddd"),1)</f>
        <v>d</v>
      </c>
      <c r="I6" s="10" t="str">
        <f t="shared" ref="I6:AQ6" si="4">LEFT(TEXT(I5,"ddd"),1)</f>
        <v>d</v>
      </c>
      <c r="J6" s="10" t="str">
        <f t="shared" si="4"/>
        <v>d</v>
      </c>
      <c r="K6" s="10" t="str">
        <f t="shared" si="4"/>
        <v>d</v>
      </c>
      <c r="L6" s="10" t="str">
        <f t="shared" si="4"/>
        <v>d</v>
      </c>
      <c r="M6" s="10" t="str">
        <f t="shared" si="4"/>
        <v>d</v>
      </c>
      <c r="N6" s="10" t="str">
        <f t="shared" si="4"/>
        <v>d</v>
      </c>
      <c r="O6" s="10" t="str">
        <f t="shared" si="4"/>
        <v>d</v>
      </c>
      <c r="P6" s="10" t="str">
        <f t="shared" si="4"/>
        <v>d</v>
      </c>
      <c r="Q6" s="10" t="str">
        <f t="shared" si="4"/>
        <v>d</v>
      </c>
      <c r="R6" s="10" t="str">
        <f t="shared" si="4"/>
        <v>d</v>
      </c>
      <c r="S6" s="10" t="str">
        <f t="shared" si="4"/>
        <v>d</v>
      </c>
      <c r="T6" s="10" t="str">
        <f t="shared" si="4"/>
        <v>d</v>
      </c>
      <c r="U6" s="10" t="str">
        <f t="shared" si="4"/>
        <v>d</v>
      </c>
      <c r="V6" s="10" t="str">
        <f t="shared" si="4"/>
        <v>d</v>
      </c>
      <c r="W6" s="10" t="str">
        <f t="shared" si="4"/>
        <v>d</v>
      </c>
      <c r="X6" s="10" t="str">
        <f t="shared" si="4"/>
        <v>d</v>
      </c>
      <c r="Y6" s="10" t="str">
        <f t="shared" si="4"/>
        <v>d</v>
      </c>
      <c r="Z6" s="10" t="str">
        <f t="shared" si="4"/>
        <v>d</v>
      </c>
      <c r="AA6" s="10" t="str">
        <f t="shared" si="4"/>
        <v>d</v>
      </c>
      <c r="AB6" s="10" t="str">
        <f t="shared" si="4"/>
        <v>d</v>
      </c>
      <c r="AC6" s="10" t="str">
        <f t="shared" si="4"/>
        <v>d</v>
      </c>
      <c r="AD6" s="10" t="str">
        <f t="shared" si="4"/>
        <v>d</v>
      </c>
      <c r="AE6" s="10" t="str">
        <f t="shared" si="4"/>
        <v>d</v>
      </c>
      <c r="AF6" s="10" t="str">
        <f t="shared" si="4"/>
        <v>d</v>
      </c>
      <c r="AG6" s="10" t="str">
        <f t="shared" si="4"/>
        <v>d</v>
      </c>
      <c r="AH6" s="10" t="str">
        <f t="shared" si="4"/>
        <v>d</v>
      </c>
      <c r="AI6" s="10" t="str">
        <f t="shared" si="4"/>
        <v>d</v>
      </c>
      <c r="AJ6" s="10" t="str">
        <f t="shared" si="4"/>
        <v>d</v>
      </c>
      <c r="AK6" s="10" t="str">
        <f t="shared" si="4"/>
        <v>d</v>
      </c>
      <c r="AL6" s="10" t="str">
        <f t="shared" si="4"/>
        <v>d</v>
      </c>
      <c r="AM6" s="10" t="str">
        <f t="shared" si="4"/>
        <v>d</v>
      </c>
      <c r="AN6" s="10" t="str">
        <f t="shared" si="4"/>
        <v>d</v>
      </c>
      <c r="AO6" s="10" t="str">
        <f t="shared" si="4"/>
        <v>d</v>
      </c>
      <c r="AP6" s="10" t="str">
        <f t="shared" si="4"/>
        <v>d</v>
      </c>
      <c r="AQ6" s="10" t="str">
        <f t="shared" si="4"/>
        <v>d</v>
      </c>
      <c r="AR6" s="10" t="str">
        <f t="shared" ref="AR6:BK6" si="5">LEFT(TEXT(AR5,"ddd"),1)</f>
        <v>d</v>
      </c>
      <c r="AS6" s="10" t="str">
        <f t="shared" si="5"/>
        <v>d</v>
      </c>
      <c r="AT6" s="10" t="str">
        <f t="shared" si="5"/>
        <v>d</v>
      </c>
      <c r="AU6" s="10" t="str">
        <f t="shared" si="5"/>
        <v>d</v>
      </c>
      <c r="AV6" s="10" t="str">
        <f t="shared" si="5"/>
        <v>d</v>
      </c>
      <c r="AW6" s="10" t="str">
        <f t="shared" si="5"/>
        <v>d</v>
      </c>
      <c r="AX6" s="10" t="str">
        <f t="shared" si="5"/>
        <v>d</v>
      </c>
      <c r="AY6" s="10" t="str">
        <f t="shared" si="5"/>
        <v>d</v>
      </c>
      <c r="AZ6" s="10" t="str">
        <f t="shared" si="5"/>
        <v>d</v>
      </c>
      <c r="BA6" s="10" t="str">
        <f t="shared" si="5"/>
        <v>d</v>
      </c>
      <c r="BB6" s="10" t="str">
        <f t="shared" si="5"/>
        <v>d</v>
      </c>
      <c r="BC6" s="10" t="str">
        <f t="shared" si="5"/>
        <v>d</v>
      </c>
      <c r="BD6" s="10" t="str">
        <f t="shared" si="5"/>
        <v>d</v>
      </c>
      <c r="BE6" s="10" t="str">
        <f t="shared" si="5"/>
        <v>d</v>
      </c>
      <c r="BF6" s="10" t="str">
        <f t="shared" si="5"/>
        <v>d</v>
      </c>
      <c r="BG6" s="10" t="str">
        <f t="shared" si="5"/>
        <v>d</v>
      </c>
      <c r="BH6" s="10" t="str">
        <f t="shared" si="5"/>
        <v>d</v>
      </c>
      <c r="BI6" s="10" t="str">
        <f t="shared" si="5"/>
        <v>d</v>
      </c>
      <c r="BJ6" s="10" t="str">
        <f t="shared" si="5"/>
        <v>d</v>
      </c>
      <c r="BK6" s="10" t="str">
        <f t="shared" si="5"/>
        <v>d</v>
      </c>
    </row>
    <row r="7" spans="1:64" s="1" customFormat="1" ht="24.95" customHeight="1" thickBot="1" x14ac:dyDescent="0.3">
      <c r="A7" s="35">
        <v>1</v>
      </c>
      <c r="B7" s="36" t="s">
        <v>26</v>
      </c>
      <c r="C7" s="37" t="s">
        <v>39</v>
      </c>
      <c r="D7" s="31">
        <v>1</v>
      </c>
      <c r="E7" s="32">
        <v>45985</v>
      </c>
      <c r="F7" s="33">
        <v>45985</v>
      </c>
      <c r="G7" s="12">
        <f t="shared" ref="G7:G19" si="6">IF(OR(ISBLANK(task_start),ISBLANK(task_end)),"",task_end-task_start+1)</f>
        <v>1</v>
      </c>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row>
    <row r="8" spans="1:64" s="1" customFormat="1" ht="24.95" customHeight="1" thickBot="1" x14ac:dyDescent="0.3">
      <c r="A8" s="35">
        <v>2</v>
      </c>
      <c r="B8" s="36" t="s">
        <v>27</v>
      </c>
      <c r="C8" s="37" t="s">
        <v>39</v>
      </c>
      <c r="D8" s="31">
        <v>1</v>
      </c>
      <c r="E8" s="32">
        <v>45985</v>
      </c>
      <c r="F8" s="33">
        <v>45987</v>
      </c>
      <c r="G8" s="12">
        <f t="shared" si="6"/>
        <v>3</v>
      </c>
      <c r="H8" s="13"/>
      <c r="I8" s="13"/>
      <c r="J8" s="13"/>
      <c r="K8" s="13"/>
      <c r="L8" s="13"/>
      <c r="M8" s="13"/>
      <c r="N8" s="13"/>
      <c r="O8" s="13"/>
      <c r="P8" s="13"/>
      <c r="Q8" s="13"/>
      <c r="R8" s="13"/>
      <c r="S8" s="13"/>
      <c r="T8" s="14"/>
      <c r="U8" s="14"/>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row>
    <row r="9" spans="1:64" s="1" customFormat="1" ht="24.95" customHeight="1" thickBot="1" x14ac:dyDescent="0.3">
      <c r="A9" s="35">
        <v>3</v>
      </c>
      <c r="B9" s="36" t="s">
        <v>28</v>
      </c>
      <c r="C9" s="37" t="s">
        <v>40</v>
      </c>
      <c r="D9" s="31">
        <v>1</v>
      </c>
      <c r="E9" s="32">
        <v>45986</v>
      </c>
      <c r="F9" s="33">
        <v>45988</v>
      </c>
      <c r="G9" s="12">
        <f t="shared" si="6"/>
        <v>3</v>
      </c>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row>
    <row r="10" spans="1:64" s="1" customFormat="1" ht="24.95" customHeight="1" thickBot="1" x14ac:dyDescent="0.3">
      <c r="A10" s="35">
        <v>4</v>
      </c>
      <c r="B10" s="36" t="s">
        <v>29</v>
      </c>
      <c r="C10" s="37" t="s">
        <v>41</v>
      </c>
      <c r="D10" s="31">
        <v>1</v>
      </c>
      <c r="E10" s="32">
        <v>45986</v>
      </c>
      <c r="F10" s="33">
        <v>45989</v>
      </c>
      <c r="G10" s="12">
        <f t="shared" si="6"/>
        <v>4</v>
      </c>
      <c r="H10" s="13"/>
      <c r="I10" s="13"/>
      <c r="J10" s="13"/>
      <c r="K10" s="13"/>
      <c r="L10" s="13"/>
      <c r="M10" s="13"/>
      <c r="N10" s="13"/>
      <c r="O10" s="13"/>
      <c r="P10" s="13"/>
      <c r="Q10" s="13"/>
      <c r="R10" s="13"/>
      <c r="S10" s="13"/>
      <c r="T10" s="13"/>
      <c r="U10" s="13"/>
      <c r="V10" s="13"/>
      <c r="W10" s="13"/>
      <c r="X10" s="14"/>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row>
    <row r="11" spans="1:64" s="1" customFormat="1" ht="24.95" customHeight="1" thickBot="1" x14ac:dyDescent="0.3">
      <c r="A11" s="35">
        <v>5</v>
      </c>
      <c r="B11" s="36" t="s">
        <v>30</v>
      </c>
      <c r="C11" s="37" t="s">
        <v>42</v>
      </c>
      <c r="D11" s="31">
        <v>1</v>
      </c>
      <c r="E11" s="32">
        <v>45989</v>
      </c>
      <c r="F11" s="33">
        <v>45992</v>
      </c>
      <c r="G11" s="12">
        <f t="shared" si="6"/>
        <v>4</v>
      </c>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row>
    <row r="12" spans="1:64" s="1" customFormat="1" ht="24.95" customHeight="1" thickBot="1" x14ac:dyDescent="0.3">
      <c r="A12" s="35">
        <v>6</v>
      </c>
      <c r="B12" s="36" t="s">
        <v>31</v>
      </c>
      <c r="C12" s="37" t="s">
        <v>41</v>
      </c>
      <c r="D12" s="31">
        <v>1</v>
      </c>
      <c r="E12" s="32">
        <v>45988</v>
      </c>
      <c r="F12" s="33">
        <v>45993</v>
      </c>
      <c r="G12" s="12">
        <f t="shared" si="6"/>
        <v>6</v>
      </c>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row>
    <row r="13" spans="1:64" s="1" customFormat="1" ht="24.95" customHeight="1" thickBot="1" x14ac:dyDescent="0.3">
      <c r="A13" s="35">
        <v>7</v>
      </c>
      <c r="B13" s="36" t="s">
        <v>36</v>
      </c>
      <c r="C13" s="37" t="s">
        <v>44</v>
      </c>
      <c r="D13" s="31">
        <v>1</v>
      </c>
      <c r="E13" s="32">
        <v>45991</v>
      </c>
      <c r="F13" s="33">
        <v>45992</v>
      </c>
      <c r="G13" s="12">
        <f t="shared" si="6"/>
        <v>2</v>
      </c>
      <c r="H13" s="13"/>
      <c r="I13" s="13"/>
      <c r="J13" s="13"/>
      <c r="K13" s="13"/>
      <c r="L13" s="13"/>
      <c r="M13" s="13"/>
      <c r="N13" s="13"/>
      <c r="O13" s="13"/>
      <c r="P13" s="13"/>
      <c r="Q13" s="13"/>
      <c r="R13" s="13"/>
      <c r="S13" s="13"/>
      <c r="T13" s="14"/>
      <c r="U13" s="14"/>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row>
    <row r="14" spans="1:64" s="1" customFormat="1" ht="24.95" customHeight="1" thickBot="1" x14ac:dyDescent="0.3">
      <c r="A14" s="35">
        <v>8</v>
      </c>
      <c r="B14" s="36" t="s">
        <v>37</v>
      </c>
      <c r="C14" s="37" t="s">
        <v>39</v>
      </c>
      <c r="D14" s="31">
        <v>1</v>
      </c>
      <c r="E14" s="32">
        <v>45992</v>
      </c>
      <c r="F14" s="33">
        <v>45993</v>
      </c>
      <c r="G14" s="12">
        <f t="shared" si="6"/>
        <v>2</v>
      </c>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row>
    <row r="15" spans="1:64" s="1" customFormat="1" ht="24.95" customHeight="1" thickBot="1" x14ac:dyDescent="0.3">
      <c r="A15" s="35">
        <v>9</v>
      </c>
      <c r="B15" s="36" t="s">
        <v>32</v>
      </c>
      <c r="C15" s="37" t="s">
        <v>43</v>
      </c>
      <c r="D15" s="31">
        <v>0</v>
      </c>
      <c r="E15" s="32">
        <v>45993</v>
      </c>
      <c r="F15" s="33">
        <v>45997</v>
      </c>
      <c r="G15" s="12">
        <f t="shared" si="6"/>
        <v>5</v>
      </c>
      <c r="H15" s="13"/>
      <c r="I15" s="13"/>
      <c r="J15" s="13"/>
      <c r="K15" s="13"/>
      <c r="L15" s="13"/>
      <c r="M15" s="13"/>
      <c r="N15" s="13"/>
      <c r="O15" s="13"/>
      <c r="P15" s="13"/>
      <c r="Q15" s="13"/>
      <c r="R15" s="13"/>
      <c r="S15" s="13"/>
      <c r="T15" s="13"/>
      <c r="U15" s="13"/>
      <c r="V15" s="13"/>
      <c r="W15" s="13"/>
      <c r="X15" s="14"/>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row>
    <row r="16" spans="1:64" s="1" customFormat="1" ht="24.95" customHeight="1" thickBot="1" x14ac:dyDescent="0.3">
      <c r="A16" s="35">
        <v>10</v>
      </c>
      <c r="B16" s="36" t="s">
        <v>38</v>
      </c>
      <c r="C16" s="37" t="s">
        <v>41</v>
      </c>
      <c r="D16" s="31">
        <v>0</v>
      </c>
      <c r="E16" s="32">
        <v>45993</v>
      </c>
      <c r="F16" s="33">
        <v>45996</v>
      </c>
      <c r="G16" s="12">
        <f t="shared" si="6"/>
        <v>4</v>
      </c>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row>
    <row r="17" spans="1:65" s="1" customFormat="1" ht="24.95" customHeight="1" thickBot="1" x14ac:dyDescent="0.3">
      <c r="A17" s="35">
        <v>11</v>
      </c>
      <c r="B17" s="36" t="s">
        <v>33</v>
      </c>
      <c r="C17" s="37" t="s">
        <v>43</v>
      </c>
      <c r="D17" s="31">
        <v>0</v>
      </c>
      <c r="E17" s="32">
        <v>45995</v>
      </c>
      <c r="F17" s="33">
        <v>45997</v>
      </c>
      <c r="G17" s="12">
        <f t="shared" si="6"/>
        <v>3</v>
      </c>
      <c r="H17" s="13"/>
      <c r="I17" s="13"/>
      <c r="J17" s="13"/>
      <c r="K17" s="13"/>
      <c r="L17" s="13"/>
      <c r="M17" s="13"/>
      <c r="N17" s="13"/>
      <c r="O17" s="13"/>
      <c r="P17" s="13"/>
      <c r="Q17" s="13"/>
      <c r="R17" s="13"/>
      <c r="S17" s="13"/>
      <c r="T17" s="14"/>
      <c r="U17" s="14"/>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row>
    <row r="18" spans="1:65" s="1" customFormat="1" ht="24.95" customHeight="1" thickBot="1" x14ac:dyDescent="0.3">
      <c r="A18" s="35">
        <v>12</v>
      </c>
      <c r="B18" s="36" t="s">
        <v>34</v>
      </c>
      <c r="C18" s="37" t="s">
        <v>46</v>
      </c>
      <c r="D18" s="31">
        <v>0</v>
      </c>
      <c r="E18" s="32">
        <v>45996</v>
      </c>
      <c r="F18" s="33">
        <v>45999</v>
      </c>
      <c r="G18" s="12">
        <f t="shared" si="6"/>
        <v>4</v>
      </c>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row>
    <row r="19" spans="1:65" s="1" customFormat="1" ht="24.95" customHeight="1" thickBot="1" x14ac:dyDescent="0.3">
      <c r="A19" s="35">
        <v>13</v>
      </c>
      <c r="B19" s="36" t="s">
        <v>35</v>
      </c>
      <c r="C19" s="37" t="s">
        <v>45</v>
      </c>
      <c r="D19" s="31">
        <v>0</v>
      </c>
      <c r="E19" s="32">
        <v>46000</v>
      </c>
      <c r="F19" s="33">
        <v>46000</v>
      </c>
      <c r="G19" s="12">
        <f t="shared" si="6"/>
        <v>1</v>
      </c>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row>
    <row r="20" spans="1:65" s="1" customFormat="1" ht="21" x14ac:dyDescent="0.25">
      <c r="A20" s="11"/>
      <c r="B20"/>
      <c r="C20"/>
      <c r="D20"/>
      <c r="E20" s="2"/>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row>
    <row r="21" spans="1:65" s="1" customFormat="1" ht="21" x14ac:dyDescent="0.25">
      <c r="A21" s="11"/>
      <c r="B21"/>
      <c r="C21"/>
      <c r="D21"/>
      <c r="E21" s="2"/>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row>
    <row r="22" spans="1:65" s="1" customFormat="1" ht="21" x14ac:dyDescent="0.25">
      <c r="A22" s="11"/>
      <c r="B22"/>
      <c r="C22"/>
      <c r="D22"/>
      <c r="E22" s="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row>
    <row r="23" spans="1:65" s="1" customFormat="1" ht="21" x14ac:dyDescent="0.25">
      <c r="A23" s="11"/>
      <c r="B23"/>
      <c r="C23"/>
      <c r="D23"/>
      <c r="E23" s="2"/>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row>
    <row r="24" spans="1:65" s="1" customFormat="1" ht="21" x14ac:dyDescent="0.25">
      <c r="A24" s="11"/>
      <c r="B24"/>
      <c r="C24"/>
      <c r="D24"/>
      <c r="E24" s="2"/>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row>
    <row r="25" spans="1:65" s="1" customFormat="1" ht="21" x14ac:dyDescent="0.25">
      <c r="A25" s="11"/>
      <c r="B25"/>
      <c r="C25"/>
      <c r="D25"/>
      <c r="E25" s="2"/>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row>
    <row r="26" spans="1:65" s="1" customFormat="1" ht="21" x14ac:dyDescent="0.25">
      <c r="A26" s="11"/>
      <c r="B26"/>
      <c r="C26"/>
      <c r="D26"/>
      <c r="E26" s="2"/>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row>
    <row r="27" spans="1:65" s="1" customFormat="1" ht="21" x14ac:dyDescent="0.25">
      <c r="A27" s="11"/>
      <c r="B27"/>
      <c r="C27"/>
      <c r="D27"/>
      <c r="E27" s="2"/>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row>
    <row r="28" spans="1:65" s="1" customFormat="1" ht="21" x14ac:dyDescent="0.25">
      <c r="A28" s="11"/>
      <c r="B28"/>
      <c r="C28"/>
      <c r="D28"/>
      <c r="E28" s="2"/>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row>
    <row r="29" spans="1:65" s="1" customFormat="1" ht="21" x14ac:dyDescent="0.25">
      <c r="A29" s="11"/>
      <c r="B29"/>
      <c r="C29"/>
      <c r="D29"/>
      <c r="E29" s="2"/>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row>
    <row r="30" spans="1:65" s="1" customFormat="1" ht="21" x14ac:dyDescent="0.25">
      <c r="A30" s="11"/>
      <c r="B30"/>
      <c r="C30"/>
      <c r="D30"/>
      <c r="E30" s="2"/>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row>
    <row r="31" spans="1:65" s="1" customFormat="1" ht="21" x14ac:dyDescent="0.25">
      <c r="A31" s="11"/>
      <c r="B31"/>
      <c r="C31"/>
      <c r="D31"/>
      <c r="E31" s="2"/>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row>
    <row r="32" spans="1:65" s="1" customFormat="1" ht="21" x14ac:dyDescent="0.25">
      <c r="A32" s="11"/>
      <c r="B32"/>
      <c r="C32"/>
      <c r="D32"/>
      <c r="E32" s="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row>
    <row r="33" spans="1:65" s="1" customFormat="1" ht="21" x14ac:dyDescent="0.25">
      <c r="A33" s="11"/>
      <c r="B33"/>
      <c r="C33"/>
      <c r="D33"/>
      <c r="E33" s="2"/>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row>
    <row r="34" spans="1:65" s="1" customFormat="1" ht="21" x14ac:dyDescent="0.25">
      <c r="A34" s="11"/>
      <c r="B34"/>
      <c r="C34"/>
      <c r="D34"/>
      <c r="E34" s="2"/>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row>
    <row r="35" spans="1:65" s="1" customFormat="1" ht="21" x14ac:dyDescent="0.25">
      <c r="A35" s="11"/>
      <c r="B35"/>
      <c r="C35"/>
      <c r="D35"/>
      <c r="E35" s="2"/>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row>
    <row r="36" spans="1:65" s="1" customFormat="1" ht="21" x14ac:dyDescent="0.25">
      <c r="A36" s="11"/>
      <c r="B36"/>
      <c r="C36"/>
      <c r="D36"/>
      <c r="E36" s="2"/>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row>
    <row r="37" spans="1:65" s="1" customFormat="1" ht="21" x14ac:dyDescent="0.25">
      <c r="A37" s="11"/>
      <c r="B37"/>
      <c r="C37"/>
      <c r="D37"/>
      <c r="E37" s="2"/>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row>
    <row r="38" spans="1:65" s="1" customFormat="1" ht="21" x14ac:dyDescent="0.25">
      <c r="A38" s="11"/>
      <c r="B38"/>
      <c r="C38"/>
      <c r="D38"/>
      <c r="E38" s="2"/>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row>
    <row r="39" spans="1:65" s="1" customFormat="1" ht="21" x14ac:dyDescent="0.25">
      <c r="A39" s="11"/>
      <c r="B39"/>
      <c r="C39"/>
      <c r="D39"/>
      <c r="E39" s="2"/>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row>
    <row r="40" spans="1:65" s="1" customFormat="1" ht="21" x14ac:dyDescent="0.25">
      <c r="A40" s="11"/>
      <c r="B40"/>
      <c r="C40"/>
      <c r="D40"/>
      <c r="E40" s="2"/>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row>
  </sheetData>
  <mergeCells count="11">
    <mergeCell ref="B1:C1"/>
    <mergeCell ref="E2:F2"/>
    <mergeCell ref="E3:F3"/>
    <mergeCell ref="AJ4:AP4"/>
    <mergeCell ref="AQ4:AW4"/>
    <mergeCell ref="H4:N4"/>
    <mergeCell ref="AX4:BD4"/>
    <mergeCell ref="BE4:BK4"/>
    <mergeCell ref="AC4:AI4"/>
    <mergeCell ref="V4:AB4"/>
    <mergeCell ref="O4:U4"/>
  </mergeCells>
  <phoneticPr fontId="20" type="noConversion"/>
  <conditionalFormatting sqref="D7:D19">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K19">
    <cfRule type="expression" dxfId="2" priority="27">
      <formula>AND(today&gt;=H$5,today&lt;H$5+1)</formula>
    </cfRule>
  </conditionalFormatting>
  <conditionalFormatting sqref="H7:BK19">
    <cfRule type="expression" dxfId="1" priority="25">
      <formula>AND(task_start&lt;=H$5,ROUNDDOWN((task_end-task_start+1)*task_progress,0)+task_start-1&gt;=H$5)</formula>
    </cfRule>
    <cfRule type="expression" dxfId="0" priority="26" stopIfTrue="1">
      <formula>AND(task_end&gt;=H$5,task_start&lt;H$5+1)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ageMargins left="0.35" right="0.35" top="0.35" bottom="0.5" header="0.3" footer="0.3"/>
  <pageSetup scale="62" fitToHeight="0" orientation="landscape" r:id="rId1"/>
  <headerFooter scaleWithDoc="0"/>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RowHeight="12.75" x14ac:dyDescent="0.2"/>
  <cols>
    <col min="1" max="1" width="2.85546875" style="16" customWidth="1"/>
    <col min="2" max="2" width="87.140625" style="23" customWidth="1"/>
    <col min="3" max="16384" width="9.140625" style="16"/>
  </cols>
  <sheetData>
    <row r="1" spans="2:3" ht="46.5" customHeight="1" x14ac:dyDescent="0.2">
      <c r="B1" s="15"/>
    </row>
    <row r="2" spans="2:3" s="18" customFormat="1" ht="15.75" x14ac:dyDescent="0.25">
      <c r="B2" s="17" t="s">
        <v>11</v>
      </c>
      <c r="C2" s="17"/>
    </row>
    <row r="3" spans="2:3" s="20" customFormat="1" ht="13.5" customHeight="1" x14ac:dyDescent="0.25">
      <c r="B3" s="19" t="s">
        <v>16</v>
      </c>
      <c r="C3" s="19"/>
    </row>
    <row r="4" spans="2:3" x14ac:dyDescent="0.2">
      <c r="B4" s="27" t="s">
        <v>22</v>
      </c>
    </row>
    <row r="5" spans="2:3" x14ac:dyDescent="0.2">
      <c r="B5" s="15"/>
    </row>
    <row r="6" spans="2:3" s="21" customFormat="1" ht="26.25" x14ac:dyDescent="0.4">
      <c r="B6" s="24" t="s">
        <v>10</v>
      </c>
    </row>
    <row r="7" spans="2:3" ht="60" x14ac:dyDescent="0.2">
      <c r="B7" s="25" t="s">
        <v>19</v>
      </c>
    </row>
    <row r="8" spans="2:3" ht="15" x14ac:dyDescent="0.2">
      <c r="B8" s="22"/>
    </row>
    <row r="9" spans="2:3" s="21" customFormat="1" ht="26.25" x14ac:dyDescent="0.4">
      <c r="B9" s="24" t="s">
        <v>12</v>
      </c>
    </row>
    <row r="10" spans="2:3" ht="60" x14ac:dyDescent="0.2">
      <c r="B10" s="25" t="s">
        <v>20</v>
      </c>
    </row>
    <row r="11" spans="2:3" ht="14.25" x14ac:dyDescent="0.2">
      <c r="B11" s="26" t="s">
        <v>18</v>
      </c>
    </row>
    <row r="12" spans="2:3" ht="15" x14ac:dyDescent="0.2">
      <c r="B12" s="22"/>
    </row>
    <row r="13" spans="2:3" ht="14.25" x14ac:dyDescent="0.2">
      <c r="B13" s="28" t="str">
        <f>HYPERLINK("https://vertex42.link/HowToMakeAGanttChart","► Watch How This Gantt Chart Was Created")</f>
        <v>► Watch How This Gantt Chart Was Created</v>
      </c>
    </row>
    <row r="14" spans="2:3" ht="15" x14ac:dyDescent="0.2">
      <c r="B14" s="22"/>
    </row>
    <row r="15" spans="2:3" s="21" customFormat="1" ht="26.25" x14ac:dyDescent="0.4">
      <c r="B15" s="24" t="s">
        <v>9</v>
      </c>
    </row>
    <row r="16" spans="2:3" ht="30" x14ac:dyDescent="0.2">
      <c r="B16" s="25" t="s">
        <v>17</v>
      </c>
    </row>
    <row r="17" spans="2:2" ht="14.25" x14ac:dyDescent="0.2">
      <c r="B17" s="26" t="s">
        <v>3</v>
      </c>
    </row>
    <row r="18" spans="2:2" ht="15" x14ac:dyDescent="0.2">
      <c r="B18" s="22"/>
    </row>
    <row r="19" spans="2:2" s="21" customFormat="1" ht="26.25" x14ac:dyDescent="0.4">
      <c r="B19" s="24" t="s">
        <v>13</v>
      </c>
    </row>
    <row r="20" spans="2:2" ht="60" x14ac:dyDescent="0.2">
      <c r="B20" s="25" t="s">
        <v>14</v>
      </c>
    </row>
    <row r="21" spans="2:2" ht="15" x14ac:dyDescent="0.2">
      <c r="B21" s="22"/>
    </row>
    <row r="22" spans="2:2" ht="75" x14ac:dyDescent="0.2">
      <c r="B22" s="25" t="s">
        <v>15</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Aziz Yuldashev</cp:lastModifiedBy>
  <cp:lastPrinted>2019-04-24T14:39:40Z</cp:lastPrinted>
  <dcterms:created xsi:type="dcterms:W3CDTF">2017-01-09T18:01:51Z</dcterms:created>
  <dcterms:modified xsi:type="dcterms:W3CDTF">2025-12-01T16:37:51Z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